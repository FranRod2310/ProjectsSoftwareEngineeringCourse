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lip\IdeaProjects\SE2526_67753_67819_67850_68211_68301\SE202526\Management\Sprint1\"/>
    </mc:Choice>
  </mc:AlternateContent>
  <xr:revisionPtr revIDLastSave="0" documentId="13_ncr:1_{F83AAAF7-3F26-4FF3-923D-CCFD1B5A2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F20" i="1" l="1"/>
  <c r="G20" i="1"/>
  <c r="H20" i="1"/>
  <c r="I20" i="1"/>
  <c r="J20" i="1"/>
  <c r="K20" i="1"/>
  <c r="L20" i="1"/>
  <c r="M20" i="1"/>
  <c r="N20" i="1"/>
  <c r="O20" i="1"/>
  <c r="P20" i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E20" i="1"/>
  <c r="D22" i="1" l="1"/>
  <c r="J22" i="1" l="1"/>
  <c r="I22" i="1"/>
  <c r="H22" i="1"/>
  <c r="G22" i="1"/>
  <c r="E22" i="1"/>
  <c r="F22" i="1"/>
  <c r="P22" i="1"/>
  <c r="O22" i="1"/>
  <c r="N22" i="1"/>
  <c r="M22" i="1"/>
  <c r="L22" i="1"/>
  <c r="K22" i="1"/>
</calcChain>
</file>

<file path=xl/sharedStrings.xml><?xml version="1.0" encoding="utf-8"?>
<sst xmlns="http://schemas.openxmlformats.org/spreadsheetml/2006/main" count="22" uniqueCount="22">
  <si>
    <t>Sprint Burndown Chart</t>
  </si>
  <si>
    <t>Sprint 2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</si>
  <si>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</si>
  <si>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</si>
  <si>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</si>
  <si>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</si>
  <si>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</si>
  <si>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</si>
  <si>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</si>
  <si>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</si>
  <si>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</si>
  <si>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</si>
  <si>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</si>
  <si>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</rPr>
      <t xml:space="preserve">Burndown </t>
    </r>
    <r>
      <rPr>
        <b/>
        <sz val="11"/>
        <color theme="1"/>
        <rFont val="Calibri"/>
      </rPr>
      <t>Ideal</t>
    </r>
  </si>
  <si>
    <t>Play the game to understand user's needs</t>
  </si>
  <si>
    <t>Dia 6</t>
  </si>
  <si>
    <t>Dia 7</t>
  </si>
  <si>
    <t>Dia 8</t>
  </si>
  <si>
    <t>Dia 9</t>
  </si>
  <si>
    <t>Dia 10</t>
  </si>
  <si>
    <t>Dia 11</t>
  </si>
  <si>
    <t>Dia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</si>
</sst>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4" fontId="3" fillId="10" borderId="14" xfId="0" applyNumberFormat="1" applyFont="1" applyFill="1" applyBorder="1" applyAlignment="1">
      <alignment horizontal="center"/>
    </xf>
    <xf numFmtId="0" fontId="6" fillId="5" borderId="18" xfId="0" applyFont="1" applyFill="1" applyBorder="1" applyAlignment="1">
      <alignment wrapText="1"/>
    </xf>
    <xf numFmtId="0" fontId="7" fillId="0" borderId="0" xfId="0" applyFont="1"/>
    <xf numFmtId="0" fontId="6" fillId="7" borderId="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6" xfId="0" applyFont="1" applyFill="1" applyBorder="1" applyAlignment="1">
      <alignment horizontal="center"/>
    </xf>
    <xf numFmtId="0" fontId="2" fillId="0" borderId="27" xfId="0" applyFont="1" applyBorder="1"/>
    <xf numFmtId="0" fontId="4" fillId="10" borderId="28" xfId="0" applyFont="1" applyFill="1" applyBorder="1" applyAlignment="1">
      <alignment horizontal="center"/>
    </xf>
    <xf numFmtId="0" fontId="2" fillId="0" borderId="2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  <xf numFmtId="15" fontId="4" fillId="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Esforço completo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Chart'!$D$20:$P$20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tx>
            <c:v>Esforço restante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Chart'!$D$21:$P$21</c:f>
              <c:numCache>
                <c:formatCode>0.0</c:formatCode>
                <c:ptCount val="13"/>
                <c:pt idx="0" formatCode="General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tx>
            <c:v>Esforço ideal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Chart'!$D$22:$P$22</c:f>
              <c:numCache>
                <c:formatCode>0.0</c:formatCode>
                <c:ptCount val="13"/>
                <c:pt idx="0" formatCode="General">
                  <c:v>10</c:v>
                </c:pt>
                <c:pt idx="1">
                  <c:v>9.1666666666666661</c:v>
                </c:pt>
                <c:pt idx="2">
                  <c:v>8.3333333333333339</c:v>
                </c:pt>
                <c:pt idx="3">
                  <c:v>7.5</c:v>
                </c:pt>
                <c:pt idx="4">
                  <c:v>6.6666666666666661</c:v>
                </c:pt>
                <c:pt idx="5">
                  <c:v>5.833333333333333</c:v>
                </c:pt>
                <c:pt idx="6">
                  <c:v>5</c:v>
                </c:pt>
                <c:pt idx="7">
                  <c:v>4.1666666666666661</c:v>
                </c:pt>
                <c:pt idx="8">
                  <c:v>3.333333333333333</c:v>
                </c:pt>
                <c:pt idx="9">
                  <c:v>2.5</c:v>
                </c:pt>
                <c:pt idx="10">
                  <c:v>1.6666666666666661</c:v>
                </c:pt>
                <c:pt idx="11">
                  <c:v>0.83333333333333215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22</xdr:row>
      <xdr:rowOff>171450</xdr:rowOff>
    </xdr:from>
    <xdr:ext cx="12966247" cy="4886325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14" zoomScale="70" zoomScaleNormal="70" workbookViewId="0">
      <selection activeCell="Q29" sqref="Q29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5" width="13.6640625" customWidth="1"/>
    <col min="6" max="6" width="16.77734375" customWidth="1"/>
    <col min="7" max="7" width="19.21875" customWidth="1"/>
    <col min="8" max="8" width="13.33203125" customWidth="1"/>
    <col min="9" max="9" width="12.6640625" customWidth="1"/>
    <col min="10" max="10" width="11.88671875" customWidth="1"/>
    <col min="11" max="11" width="11.77734375" customWidth="1"/>
    <col min="12" max="12" width="12.109375" customWidth="1"/>
    <col min="13" max="13" width="11.88671875" customWidth="1"/>
    <col min="14" max="14" width="11.5546875" customWidth="1"/>
    <col min="15" max="15" width="10.88671875" customWidth="1"/>
    <col min="16" max="16" width="12" customWidth="1"/>
    <col min="17" max="26" width="8.6640625" customWidth="1"/>
  </cols>
  <sheetData>
    <row r="1" spans="2:16" ht="14.25" customHeight="1" x14ac:dyDescent="0.3"/>
    <row r="2" spans="2:16" ht="14.25" customHeight="1" thickBot="1" x14ac:dyDescent="0.55000000000000004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</row>
    <row r="3" spans="2:16" ht="14.25" customHeight="1" thickBot="1" x14ac:dyDescent="0.35">
      <c r="B3" s="1"/>
      <c r="C3" s="2"/>
      <c r="D3" s="2"/>
      <c r="E3" s="41" t="s">
        <v>1</v>
      </c>
      <c r="F3" s="39"/>
      <c r="G3" s="39"/>
      <c r="H3" s="39"/>
      <c r="I3" s="42"/>
    </row>
    <row r="4" spans="2:16" ht="14.25" customHeight="1" x14ac:dyDescent="0.3">
      <c r="B4" s="43" t="s">
        <v>2</v>
      </c>
      <c r="C4" s="45" t="s">
        <v>3</v>
      </c>
      <c r="D4" s="3" t="s">
        <v>4</v>
      </c>
      <c r="E4" s="47">
        <v>45938</v>
      </c>
      <c r="F4" s="47">
        <v>45939</v>
      </c>
      <c r="G4" s="47">
        <v>45940</v>
      </c>
      <c r="H4" s="47">
        <v>45941</v>
      </c>
      <c r="I4" s="47">
        <v>45942</v>
      </c>
      <c r="J4" s="47">
        <v>45943</v>
      </c>
      <c r="K4" s="47">
        <v>45944</v>
      </c>
      <c r="L4" s="47">
        <v>45945</v>
      </c>
      <c r="M4" s="47">
        <v>45946</v>
      </c>
      <c r="N4" s="47">
        <v>45947</v>
      </c>
      <c r="O4" s="47">
        <v>45948</v>
      </c>
      <c r="P4" s="47">
        <v>45949</v>
      </c>
    </row>
    <row r="5" spans="2:16" ht="14.25" customHeight="1" thickBot="1" x14ac:dyDescent="0.35">
      <c r="B5" s="44"/>
      <c r="C5" s="46"/>
      <c r="D5" s="4" t="s">
        <v>5</v>
      </c>
      <c r="E5" s="5" t="s">
        <v>6</v>
      </c>
      <c r="F5" s="6" t="s">
        <v>7</v>
      </c>
      <c r="G5" s="6" t="s">
        <v>8</v>
      </c>
      <c r="H5" s="6" t="s">
        <v>9</v>
      </c>
      <c r="I5" s="7" t="s">
        <v>10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</row>
    <row r="6" spans="2:16" ht="14.25" customHeight="1" x14ac:dyDescent="0.3">
      <c r="B6" s="8">
        <v>1</v>
      </c>
      <c r="C6" s="30" t="s">
        <v>14</v>
      </c>
      <c r="D6" s="9">
        <v>10</v>
      </c>
      <c r="E6" s="10">
        <v>1</v>
      </c>
      <c r="F6" s="31"/>
      <c r="G6" s="11">
        <v>1</v>
      </c>
      <c r="H6" s="11"/>
      <c r="I6" s="12"/>
      <c r="J6" s="12">
        <v>2</v>
      </c>
      <c r="K6" s="12"/>
      <c r="L6" s="12">
        <v>1</v>
      </c>
      <c r="M6" s="12">
        <v>1</v>
      </c>
      <c r="N6" s="12">
        <v>1</v>
      </c>
      <c r="O6" s="12">
        <v>1</v>
      </c>
      <c r="P6" s="12">
        <v>1</v>
      </c>
    </row>
    <row r="7" spans="2:16" ht="14.25" customHeight="1" x14ac:dyDescent="0.3">
      <c r="B7" s="13">
        <v>2</v>
      </c>
      <c r="C7" s="29"/>
      <c r="D7" s="15"/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</row>
    <row r="8" spans="2:16" ht="14.25" customHeight="1" x14ac:dyDescent="0.3">
      <c r="B8" s="13">
        <v>3</v>
      </c>
      <c r="C8" s="14"/>
      <c r="D8" s="15"/>
      <c r="E8" s="20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</row>
    <row r="9" spans="2:16" ht="14.25" customHeight="1" x14ac:dyDescent="0.3">
      <c r="B9" s="13">
        <v>4</v>
      </c>
      <c r="C9" s="14"/>
      <c r="D9" s="15"/>
      <c r="E9" s="21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</row>
    <row r="10" spans="2:16" ht="14.25" customHeight="1" x14ac:dyDescent="0.3">
      <c r="B10" s="13">
        <v>5</v>
      </c>
      <c r="C10" s="14"/>
      <c r="D10" s="15"/>
      <c r="E10" s="19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</row>
    <row r="11" spans="2:16" ht="14.25" customHeight="1" x14ac:dyDescent="0.3">
      <c r="B11" s="13">
        <v>6</v>
      </c>
      <c r="C11" s="14"/>
      <c r="D11" s="15"/>
      <c r="E11" s="19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</row>
    <row r="12" spans="2:16" ht="14.25" customHeight="1" x14ac:dyDescent="0.3">
      <c r="B12" s="13">
        <v>7</v>
      </c>
      <c r="C12" s="14"/>
      <c r="D12" s="15"/>
      <c r="E12" s="19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</row>
    <row r="13" spans="2:16" ht="14.25" customHeight="1" x14ac:dyDescent="0.3">
      <c r="B13" s="13">
        <v>8</v>
      </c>
      <c r="C13" s="14"/>
      <c r="D13" s="15"/>
      <c r="E13" s="19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</row>
    <row r="14" spans="2:16" ht="14.25" customHeight="1" x14ac:dyDescent="0.3">
      <c r="B14" s="13">
        <v>9</v>
      </c>
      <c r="C14" s="14"/>
      <c r="D14" s="15"/>
      <c r="E14" s="19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</row>
    <row r="15" spans="2:16" ht="14.25" customHeight="1" x14ac:dyDescent="0.3">
      <c r="B15" s="13">
        <v>10</v>
      </c>
      <c r="C15" s="14"/>
      <c r="D15" s="15"/>
      <c r="E15" s="19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</row>
    <row r="16" spans="2:16" ht="14.25" customHeight="1" x14ac:dyDescent="0.3">
      <c r="B16" s="13">
        <v>11</v>
      </c>
      <c r="C16" s="22"/>
      <c r="D16" s="15"/>
      <c r="E16" s="19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</row>
    <row r="17" spans="2:16" ht="14.25" customHeight="1" x14ac:dyDescent="0.3">
      <c r="B17" s="13">
        <v>12</v>
      </c>
      <c r="C17" s="14"/>
      <c r="D17" s="15"/>
      <c r="E17" s="19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</row>
    <row r="18" spans="2:16" ht="14.25" customHeight="1" x14ac:dyDescent="0.3">
      <c r="B18" s="13">
        <v>13</v>
      </c>
      <c r="C18" s="14"/>
      <c r="D18" s="15"/>
      <c r="E18" s="19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</row>
    <row r="19" spans="2:16" ht="14.25" customHeight="1" thickBot="1" x14ac:dyDescent="0.35">
      <c r="B19" s="13">
        <v>14</v>
      </c>
      <c r="C19" s="14"/>
      <c r="D19" s="15"/>
      <c r="E19" s="19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</row>
    <row r="20" spans="2:16" ht="14.25" customHeight="1" x14ac:dyDescent="0.3">
      <c r="B20" s="32" t="s">
        <v>11</v>
      </c>
      <c r="C20" s="33"/>
      <c r="D20" s="23">
        <v>0</v>
      </c>
      <c r="E20" s="24">
        <f t="shared" ref="E20:P20" si="0">SUM(E6:E19)</f>
        <v>1</v>
      </c>
      <c r="F20" s="24">
        <f t="shared" si="0"/>
        <v>0</v>
      </c>
      <c r="G20" s="24">
        <f t="shared" si="0"/>
        <v>1</v>
      </c>
      <c r="H20" s="24">
        <f t="shared" si="0"/>
        <v>0</v>
      </c>
      <c r="I20" s="24">
        <f t="shared" si="0"/>
        <v>0</v>
      </c>
      <c r="J20" s="24">
        <f t="shared" si="0"/>
        <v>2</v>
      </c>
      <c r="K20" s="24">
        <f t="shared" si="0"/>
        <v>0</v>
      </c>
      <c r="L20" s="24">
        <f t="shared" si="0"/>
        <v>1</v>
      </c>
      <c r="M20" s="24">
        <f t="shared" si="0"/>
        <v>1</v>
      </c>
      <c r="N20" s="24">
        <f t="shared" si="0"/>
        <v>1</v>
      </c>
      <c r="O20" s="24">
        <f t="shared" si="0"/>
        <v>1</v>
      </c>
      <c r="P20" s="24">
        <f t="shared" si="0"/>
        <v>1</v>
      </c>
    </row>
    <row r="21" spans="2:16" ht="14.25" customHeight="1" x14ac:dyDescent="0.3">
      <c r="B21" s="34" t="s">
        <v>12</v>
      </c>
      <c r="C21" s="35"/>
      <c r="D21" s="25">
        <f>SUM(D6:D20)</f>
        <v>10</v>
      </c>
      <c r="E21" s="26">
        <f t="shared" ref="E21:I21" si="1">D21-SUM(E6:E19)</f>
        <v>9</v>
      </c>
      <c r="F21" s="26">
        <f t="shared" ref="F21" si="2">E21-SUM(F6:F19)</f>
        <v>9</v>
      </c>
      <c r="G21" s="26">
        <f t="shared" ref="G21" si="3">F21-SUM(G6:G19)</f>
        <v>8</v>
      </c>
      <c r="H21" s="26">
        <f t="shared" ref="H21" si="4">G21-SUM(H6:H19)</f>
        <v>8</v>
      </c>
      <c r="I21" s="26">
        <f t="shared" ref="I21" si="5">H21-SUM(I6:I19)</f>
        <v>8</v>
      </c>
      <c r="J21" s="26">
        <f t="shared" ref="J21" si="6">I21-SUM(J6:J19)</f>
        <v>6</v>
      </c>
      <c r="K21" s="26">
        <f t="shared" ref="K21" si="7">J21-SUM(K6:K19)</f>
        <v>6</v>
      </c>
      <c r="L21" s="26">
        <f t="shared" ref="L21" si="8">K21-SUM(L6:L19)</f>
        <v>5</v>
      </c>
      <c r="M21" s="26">
        <f t="shared" ref="M21" si="9">L21-SUM(M6:M19)</f>
        <v>4</v>
      </c>
      <c r="N21" s="26">
        <f t="shared" ref="N21" si="10">M21-SUM(N6:N19)</f>
        <v>3</v>
      </c>
      <c r="O21" s="26">
        <f t="shared" ref="O21" si="11">N21-SUM(O6:O19)</f>
        <v>2</v>
      </c>
      <c r="P21" s="26">
        <f t="shared" ref="P21" si="12">O21-SUM(P6:P19)</f>
        <v>1</v>
      </c>
    </row>
    <row r="22" spans="2:16" ht="14.25" customHeight="1" thickBot="1" x14ac:dyDescent="0.35">
      <c r="B22" s="36" t="s">
        <v>13</v>
      </c>
      <c r="C22" s="37"/>
      <c r="D22" s="27">
        <f>D21</f>
        <v>10</v>
      </c>
      <c r="E22" s="28">
        <f>$D$22-($D$22/12*1)</f>
        <v>9.1666666666666661</v>
      </c>
      <c r="F22" s="28">
        <f>$D$22-($D$22/12*2)</f>
        <v>8.3333333333333339</v>
      </c>
      <c r="G22" s="28">
        <f>$D$22-($D$22/12*3)</f>
        <v>7.5</v>
      </c>
      <c r="H22" s="28">
        <f>$D$22-($D$22/12*4)</f>
        <v>6.6666666666666661</v>
      </c>
      <c r="I22" s="28">
        <f>$D$22-($D$22/12*5)</f>
        <v>5.833333333333333</v>
      </c>
      <c r="J22" s="28">
        <f>$D$22-($D$22/12*6)</f>
        <v>5</v>
      </c>
      <c r="K22" s="28">
        <f>$D$22-($D$22/12*7)</f>
        <v>4.1666666666666661</v>
      </c>
      <c r="L22" s="28">
        <f>$D$22-($D$22/12*8)</f>
        <v>3.333333333333333</v>
      </c>
      <c r="M22" s="28">
        <f>$D$22-($D$22/12*9)</f>
        <v>2.5</v>
      </c>
      <c r="N22" s="28">
        <f>$D$22-($D$22/12*10)</f>
        <v>1.6666666666666661</v>
      </c>
      <c r="O22" s="28">
        <f>$D$22-($D$22/12*11)</f>
        <v>0.83333333333333215</v>
      </c>
      <c r="P22" s="28">
        <f>$D$22-($D$22/12*12)</f>
        <v>0</v>
      </c>
    </row>
    <row r="23" spans="2:16" ht="14.25" customHeight="1" x14ac:dyDescent="0.3"/>
    <row r="24" spans="2:16" ht="14.25" customHeight="1" x14ac:dyDescent="0.3"/>
    <row r="25" spans="2:16" ht="14.25" customHeight="1" x14ac:dyDescent="0.3"/>
    <row r="26" spans="2:16" ht="14.25" customHeight="1" x14ac:dyDescent="0.3"/>
    <row r="27" spans="2:16" ht="14.25" customHeight="1" x14ac:dyDescent="0.3"/>
    <row r="28" spans="2:16" ht="14.25" customHeight="1" x14ac:dyDescent="0.3"/>
    <row r="29" spans="2:16" ht="14.25" customHeight="1" x14ac:dyDescent="0.3"/>
    <row r="30" spans="2:16" ht="14.25" customHeight="1" x14ac:dyDescent="0.3"/>
    <row r="31" spans="2:16" ht="14.25" customHeight="1" x14ac:dyDescent="0.3"/>
    <row r="32" spans="2:1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E3:I3"/>
    <mergeCell ref="B4:B5"/>
    <mergeCell ref="C4:C5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Filipe Moreira Braz Nobre</cp:lastModifiedBy>
  <dcterms:created xsi:type="dcterms:W3CDTF">2021-11-14T17:33:15Z</dcterms:created>
  <dcterms:modified xsi:type="dcterms:W3CDTF">2025-11-29T21:19:45Z</dcterms:modified>
</cp:coreProperties>
</file>