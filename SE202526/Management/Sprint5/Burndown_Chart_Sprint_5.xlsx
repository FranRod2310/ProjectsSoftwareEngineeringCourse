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msro\OneDrive\Ambiente de Trabalho\"/>
    </mc:Choice>
  </mc:AlternateContent>
  <xr:revisionPtr revIDLastSave="0" documentId="8_{2BDED0EE-C925-4845-9A56-8DA45D9EF2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rndown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GC7KOB15HCg0RH4tIUTnK0VFTOjg4XH+y4UyNCZdr8="/>
    </ext>
  </extLst>
</workbook>
</file>

<file path=xl/calcChain.xml><?xml version="1.0" encoding="utf-8"?>
<calcChain xmlns="http://schemas.openxmlformats.org/spreadsheetml/2006/main">
  <c r="J20" i="1" l="1"/>
  <c r="K20" i="1"/>
  <c r="D21" i="1"/>
  <c r="E21" i="1" s="1"/>
  <c r="F21" i="1" s="1"/>
  <c r="G21" i="1" s="1"/>
  <c r="H21" i="1" s="1"/>
  <c r="I21" i="1" s="1"/>
  <c r="J21" i="1" s="1"/>
  <c r="K21" i="1" s="1"/>
  <c r="I20" i="1"/>
  <c r="H20" i="1"/>
  <c r="G20" i="1"/>
  <c r="F20" i="1"/>
  <c r="E20" i="1"/>
  <c r="D22" i="1" l="1"/>
  <c r="J22" i="1" l="1"/>
  <c r="K22" i="1"/>
  <c r="I22" i="1"/>
  <c r="H22" i="1"/>
  <c r="G22" i="1"/>
  <c r="F22" i="1"/>
  <c r="E22" i="1"/>
</calcChain>
</file>

<file path=xl/sharedStrings.xml><?xml version="1.0" encoding="utf-8"?>
<sst xmlns="http://schemas.openxmlformats.org/spreadsheetml/2006/main" count="20" uniqueCount="20">
  <si>
    <t>Sprint Burndown Chart</t>
  </si>
  <si>
    <t>Task ID</t>
  </si>
  <si>
    <t>Descrição da Tarefa</t>
  </si>
  <si>
    <t>Estimativa Inicial</t>
  </si>
  <si>
    <t>Dia 0</t>
  </si>
  <si>
    <t>Dia 1</t>
  </si>
  <si>
    <t>Dia 2</t>
  </si>
  <si>
    <t>Dia 3</t>
  </si>
  <si>
    <t>Dia 4</t>
  </si>
  <si>
    <t>Dia 5</t>
  </si>
  <si>
    <t>Esforço Completo</t>
  </si>
  <si>
    <t>Esforço Restante</t>
  </si>
  <si>
    <r>
      <rPr>
        <b/>
        <i/>
        <sz val="11"/>
        <color theme="1"/>
        <rFont val="Calibri"/>
        <family val="2"/>
      </rPr>
      <t xml:space="preserve">Burndown </t>
    </r>
    <r>
      <rPr>
        <b/>
        <sz val="11"/>
        <color theme="1"/>
        <rFont val="Calibri"/>
        <family val="2"/>
      </rPr>
      <t>Ideal</t>
    </r>
  </si>
  <si>
    <t>Dia 6</t>
  </si>
  <si>
    <t>Dia 7</t>
  </si>
  <si>
    <t>Sprint 3</t>
  </si>
  <si>
    <t>Scrum orientation</t>
  </si>
  <si>
    <t>Update all user stories</t>
  </si>
  <si>
    <t>Create user cases diagrams for each user story</t>
  </si>
  <si>
    <t>write use case textual descriptions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</si>
</sst>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scheme val="minor"/>
    </font>
    <font>
      <sz val="20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aj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right" wrapText="1"/>
    </xf>
    <xf numFmtId="0" fontId="3" fillId="6" borderId="6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right" wrapText="1"/>
    </xf>
    <xf numFmtId="0" fontId="3" fillId="5" borderId="17" xfId="0" applyFont="1" applyFill="1" applyBorder="1" applyAlignment="1">
      <alignment wrapText="1"/>
    </xf>
    <xf numFmtId="0" fontId="3" fillId="6" borderId="18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7" borderId="22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left" wrapText="1"/>
    </xf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25" xfId="0" applyFont="1" applyFill="1" applyBorder="1" applyAlignment="1">
      <alignment horizontal="center"/>
    </xf>
    <xf numFmtId="0" fontId="3" fillId="8" borderId="26" xfId="0" applyFont="1" applyFill="1" applyBorder="1" applyAlignment="1">
      <alignment horizontal="center"/>
    </xf>
    <xf numFmtId="0" fontId="3" fillId="9" borderId="18" xfId="0" applyFont="1" applyFill="1" applyBorder="1" applyAlignment="1">
      <alignment horizontal="center"/>
    </xf>
    <xf numFmtId="164" fontId="3" fillId="9" borderId="16" xfId="0" applyNumberFormat="1" applyFont="1" applyFill="1" applyBorder="1" applyAlignment="1">
      <alignment horizontal="center"/>
    </xf>
    <xf numFmtId="164" fontId="3" fillId="9" borderId="17" xfId="0" applyNumberFormat="1" applyFont="1" applyFill="1" applyBorder="1" applyAlignment="1">
      <alignment horizontal="center"/>
    </xf>
    <xf numFmtId="164" fontId="3" fillId="9" borderId="20" xfId="0" applyNumberFormat="1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164" fontId="3" fillId="10" borderId="13" xfId="0" applyNumberFormat="1" applyFont="1" applyFill="1" applyBorder="1" applyAlignment="1">
      <alignment horizontal="center"/>
    </xf>
    <xf numFmtId="164" fontId="3" fillId="10" borderId="31" xfId="0" applyNumberFormat="1" applyFont="1" applyFill="1" applyBorder="1" applyAlignment="1">
      <alignment horizontal="center"/>
    </xf>
    <xf numFmtId="0" fontId="7" fillId="0" borderId="0" xfId="0" applyFont="1"/>
    <xf numFmtId="0" fontId="6" fillId="7" borderId="8" xfId="0" quotePrefix="1" applyFont="1" applyFill="1" applyBorder="1" applyAlignment="1">
      <alignment horizontal="center"/>
    </xf>
    <xf numFmtId="15" fontId="4" fillId="3" borderId="7" xfId="0" applyNumberFormat="1" applyFont="1" applyFill="1" applyBorder="1" applyAlignment="1">
      <alignment horizontal="center"/>
    </xf>
    <xf numFmtId="0" fontId="4" fillId="8" borderId="23" xfId="0" applyFont="1" applyFill="1" applyBorder="1" applyAlignment="1">
      <alignment horizontal="center" wrapText="1"/>
    </xf>
    <xf numFmtId="0" fontId="2" fillId="0" borderId="24" xfId="0" applyFont="1" applyBorder="1"/>
    <xf numFmtId="0" fontId="4" fillId="9" borderId="27" xfId="0" applyFont="1" applyFill="1" applyBorder="1" applyAlignment="1">
      <alignment horizontal="center"/>
    </xf>
    <xf numFmtId="0" fontId="2" fillId="0" borderId="28" xfId="0" applyFont="1" applyBorder="1"/>
    <xf numFmtId="0" fontId="4" fillId="10" borderId="29" xfId="0" applyFont="1" applyFill="1" applyBorder="1" applyAlignment="1">
      <alignment horizontal="center"/>
    </xf>
    <xf numFmtId="0" fontId="2" fillId="0" borderId="30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3" borderId="4" xfId="0" applyFont="1" applyFill="1" applyBorder="1" applyAlignment="1">
      <alignment horizontal="center" vertical="center"/>
    </xf>
    <xf numFmtId="0" fontId="2" fillId="0" borderId="10" xfId="0" applyFont="1" applyBorder="1"/>
    <xf numFmtId="0" fontId="4" fillId="3" borderId="5" xfId="0" applyFont="1" applyFill="1" applyBorder="1" applyAlignment="1">
      <alignment horizontal="center" vertical="center"/>
    </xf>
    <xf numFmtId="0" fontId="2" fillId="0" borderId="11" xfId="0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49509418816096E-2"/>
          <c:y val="9.5892881753698325E-2"/>
          <c:w val="0.94543737472374978"/>
          <c:h val="0.7772147554069182"/>
        </c:manualLayout>
      </c:layout>
      <c:barChart>
        <c:barDir val="col"/>
        <c:grouping val="stacked"/>
        <c:varyColors val="1"/>
        <c:ser>
          <c:idx val="0"/>
          <c:order val="0"/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Chart'!$D$20:$K$20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2.5</c:v>
                </c:pt>
                <c:pt idx="5">
                  <c:v>13.5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2C-440B-8A65-F0F00AE1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7652190"/>
        <c:axId val="651575774"/>
      </c:barChart>
      <c:lineChart>
        <c:grouping val="standard"/>
        <c:varyColors val="1"/>
        <c:ser>
          <c:idx val="1"/>
          <c:order val="1"/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Chart'!$D$21:$K$21</c:f>
              <c:numCache>
                <c:formatCode>0.0</c:formatCode>
                <c:ptCount val="8"/>
                <c:pt idx="0" formatCode="General">
                  <c:v>23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19.5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2C-440B-8A65-F0F00AE1DFFC}"/>
            </c:ext>
          </c:extLst>
        </c:ser>
        <c:ser>
          <c:idx val="2"/>
          <c:order val="2"/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Chart'!$D$22:$K$22</c:f>
              <c:numCache>
                <c:formatCode>0.0</c:formatCode>
                <c:ptCount val="8"/>
                <c:pt idx="0" formatCode="General">
                  <c:v>23</c:v>
                </c:pt>
                <c:pt idx="1">
                  <c:v>20.7</c:v>
                </c:pt>
                <c:pt idx="2">
                  <c:v>18.399999999999999</c:v>
                </c:pt>
                <c:pt idx="3">
                  <c:v>16.100000000000001</c:v>
                </c:pt>
                <c:pt idx="4">
                  <c:v>13.8</c:v>
                </c:pt>
                <c:pt idx="5">
                  <c:v>11.5</c:v>
                </c:pt>
                <c:pt idx="6">
                  <c:v>9.2000000000000011</c:v>
                </c:pt>
                <c:pt idx="7">
                  <c:v>6.9000000000000021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2C-440B-8A65-F0F00AE1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652190"/>
        <c:axId val="651575774"/>
      </c:lineChart>
      <c:catAx>
        <c:axId val="1197652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1575774"/>
        <c:crosses val="autoZero"/>
        <c:auto val="1"/>
        <c:lblAlgn val="ctr"/>
        <c:lblOffset val="100"/>
        <c:noMultiLvlLbl val="1"/>
      </c:catAx>
      <c:valAx>
        <c:axId val="651575774"/>
        <c:scaling>
          <c:orientation val="minMax"/>
          <c:max val="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7652190"/>
        <c:crosses val="autoZero"/>
        <c:crossBetween val="between"/>
        <c:majorUnit val="5"/>
        <c:minorUnit val="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327629</xdr:colOff>
      <xdr:row>23</xdr:row>
      <xdr:rowOff>45962</xdr:rowOff>
    </xdr:from>
    <xdr:ext cx="13075104" cy="6585857"/>
    <xdr:graphicFrame macro="">
      <xdr:nvGraphicFramePr>
        <xdr:cNvPr id="62867632" name="Chart 1" title="Chart">
          <a:extLst>
            <a:ext uri="{FF2B5EF4-FFF2-40B4-BE49-F238E27FC236}">
              <a16:creationId xmlns:a16="http://schemas.microsoft.com/office/drawing/2014/main" id="{00000000-0008-0000-0000-0000B048B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0"/>
  <sheetViews>
    <sheetView tabSelected="1" zoomScale="88" zoomScaleNormal="88" workbookViewId="0">
      <selection activeCell="P55" sqref="P55"/>
    </sheetView>
  </sheetViews>
  <sheetFormatPr defaultColWidth="14.44140625" defaultRowHeight="15" customHeight="1" x14ac:dyDescent="0.3"/>
  <cols>
    <col min="1" max="1" width="8.6640625" customWidth="1"/>
    <col min="2" max="2" width="7.109375" customWidth="1"/>
    <col min="3" max="3" width="73.109375" customWidth="1"/>
    <col min="4" max="4" width="15.6640625" customWidth="1"/>
    <col min="5" max="9" width="10.44140625" bestFit="1" customWidth="1"/>
    <col min="10" max="11" width="10.5546875" bestFit="1" customWidth="1"/>
    <col min="12" max="14" width="10" customWidth="1"/>
    <col min="15" max="26" width="8.6640625" customWidth="1"/>
  </cols>
  <sheetData>
    <row r="1" spans="2:14" ht="14.25" customHeight="1" x14ac:dyDescent="0.3"/>
    <row r="2" spans="2:14" ht="14.25" customHeight="1" thickBot="1" x14ac:dyDescent="0.55000000000000004">
      <c r="B2" s="43" t="s">
        <v>0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5"/>
    </row>
    <row r="3" spans="2:14" ht="14.25" customHeight="1" thickBot="1" x14ac:dyDescent="0.35">
      <c r="B3" s="1"/>
      <c r="C3" s="2"/>
      <c r="D3" s="2"/>
      <c r="E3" s="50" t="s">
        <v>15</v>
      </c>
      <c r="F3" s="51"/>
      <c r="G3" s="51"/>
      <c r="H3" s="51"/>
      <c r="I3" s="51"/>
      <c r="J3" s="51"/>
      <c r="K3" s="51"/>
    </row>
    <row r="4" spans="2:14" ht="14.25" customHeight="1" x14ac:dyDescent="0.3">
      <c r="B4" s="46" t="s">
        <v>1</v>
      </c>
      <c r="C4" s="48" t="s">
        <v>2</v>
      </c>
      <c r="D4" s="3" t="s">
        <v>3</v>
      </c>
      <c r="E4" s="36">
        <v>45957</v>
      </c>
      <c r="F4" s="36">
        <v>45958</v>
      </c>
      <c r="G4" s="36">
        <v>45959</v>
      </c>
      <c r="H4" s="36">
        <v>45960</v>
      </c>
      <c r="I4" s="36">
        <v>45961</v>
      </c>
      <c r="J4" s="36">
        <v>45962</v>
      </c>
      <c r="K4" s="36">
        <v>45963</v>
      </c>
    </row>
    <row r="5" spans="2:14" ht="14.25" customHeight="1" thickBot="1" x14ac:dyDescent="0.35">
      <c r="B5" s="47"/>
      <c r="C5" s="49"/>
      <c r="D5" s="4" t="s">
        <v>4</v>
      </c>
      <c r="E5" s="5" t="s">
        <v>5</v>
      </c>
      <c r="F5" s="6" t="s">
        <v>6</v>
      </c>
      <c r="G5" s="6" t="s">
        <v>7</v>
      </c>
      <c r="H5" s="6" t="s">
        <v>8</v>
      </c>
      <c r="I5" s="7" t="s">
        <v>9</v>
      </c>
      <c r="J5" s="7" t="s">
        <v>13</v>
      </c>
      <c r="K5" s="7" t="s">
        <v>14</v>
      </c>
    </row>
    <row r="6" spans="2:14" ht="14.25" customHeight="1" x14ac:dyDescent="0.3">
      <c r="B6" s="8">
        <v>1</v>
      </c>
      <c r="C6" s="34" t="s">
        <v>18</v>
      </c>
      <c r="D6" s="9">
        <v>6</v>
      </c>
      <c r="E6" s="10"/>
      <c r="F6" s="35"/>
      <c r="G6" s="11"/>
      <c r="H6" s="11"/>
      <c r="I6" s="12">
        <v>3</v>
      </c>
      <c r="J6" s="12">
        <v>2</v>
      </c>
      <c r="K6" s="12">
        <v>1</v>
      </c>
    </row>
    <row r="7" spans="2:14" ht="14.25" customHeight="1" x14ac:dyDescent="0.3">
      <c r="B7" s="13">
        <v>2</v>
      </c>
      <c r="C7" s="14" t="s">
        <v>17</v>
      </c>
      <c r="D7" s="15">
        <v>8</v>
      </c>
      <c r="E7" s="16"/>
      <c r="F7" s="17"/>
      <c r="G7" s="17"/>
      <c r="H7" s="17">
        <v>1.5</v>
      </c>
      <c r="I7" s="18">
        <v>6.5</v>
      </c>
      <c r="J7" s="18"/>
      <c r="K7" s="18"/>
    </row>
    <row r="8" spans="2:14" ht="14.25" customHeight="1" x14ac:dyDescent="0.3">
      <c r="B8" s="13">
        <v>3</v>
      </c>
      <c r="C8" s="14" t="s">
        <v>16</v>
      </c>
      <c r="D8" s="15">
        <v>3</v>
      </c>
      <c r="E8" s="20">
        <v>1</v>
      </c>
      <c r="F8" s="17"/>
      <c r="G8" s="17"/>
      <c r="H8" s="17">
        <v>1</v>
      </c>
      <c r="I8" s="18"/>
      <c r="J8" s="18"/>
      <c r="K8" s="18">
        <v>1</v>
      </c>
    </row>
    <row r="9" spans="2:14" ht="14.25" customHeight="1" x14ac:dyDescent="0.3">
      <c r="B9" s="13">
        <v>4</v>
      </c>
      <c r="C9" s="14" t="s">
        <v>19</v>
      </c>
      <c r="D9" s="15">
        <v>6</v>
      </c>
      <c r="E9" s="21"/>
      <c r="F9" s="17"/>
      <c r="G9" s="17"/>
      <c r="H9" s="17"/>
      <c r="I9" s="18">
        <v>4</v>
      </c>
      <c r="J9" s="18">
        <v>2</v>
      </c>
      <c r="K9" s="18"/>
    </row>
    <row r="10" spans="2:14" ht="14.25" customHeight="1" x14ac:dyDescent="0.3">
      <c r="B10" s="13">
        <v>5</v>
      </c>
      <c r="C10" s="14"/>
      <c r="D10" s="15"/>
      <c r="E10" s="19"/>
      <c r="F10" s="17"/>
      <c r="G10" s="17"/>
      <c r="H10" s="17"/>
      <c r="I10" s="18"/>
      <c r="J10" s="18"/>
      <c r="K10" s="18"/>
    </row>
    <row r="11" spans="2:14" ht="14.25" customHeight="1" x14ac:dyDescent="0.3">
      <c r="B11" s="13">
        <v>6</v>
      </c>
      <c r="C11" s="14"/>
      <c r="D11" s="15"/>
      <c r="E11" s="19"/>
      <c r="F11" s="17"/>
      <c r="G11" s="17"/>
      <c r="H11" s="17"/>
      <c r="I11" s="18"/>
      <c r="J11" s="18"/>
      <c r="K11" s="18"/>
    </row>
    <row r="12" spans="2:14" ht="14.25" customHeight="1" x14ac:dyDescent="0.3">
      <c r="B12" s="13">
        <v>7</v>
      </c>
      <c r="C12" s="14"/>
      <c r="D12" s="15"/>
      <c r="E12" s="19"/>
      <c r="F12" s="17"/>
      <c r="G12" s="17"/>
      <c r="H12" s="17"/>
      <c r="I12" s="18"/>
      <c r="J12" s="18"/>
      <c r="K12" s="18"/>
    </row>
    <row r="13" spans="2:14" ht="14.25" customHeight="1" x14ac:dyDescent="0.3">
      <c r="B13" s="13">
        <v>8</v>
      </c>
      <c r="C13" s="14"/>
      <c r="D13" s="15"/>
      <c r="E13" s="19"/>
      <c r="F13" s="17"/>
      <c r="G13" s="17"/>
      <c r="H13" s="17"/>
      <c r="I13" s="18"/>
      <c r="J13" s="18"/>
      <c r="K13" s="18"/>
    </row>
    <row r="14" spans="2:14" ht="14.25" customHeight="1" x14ac:dyDescent="0.3">
      <c r="B14" s="13">
        <v>9</v>
      </c>
      <c r="C14" s="14"/>
      <c r="D14" s="15"/>
      <c r="E14" s="19"/>
      <c r="F14" s="17"/>
      <c r="G14" s="17"/>
      <c r="H14" s="17"/>
      <c r="I14" s="18"/>
      <c r="J14" s="18"/>
      <c r="K14" s="18"/>
    </row>
    <row r="15" spans="2:14" ht="14.25" customHeight="1" x14ac:dyDescent="0.3">
      <c r="B15" s="13">
        <v>10</v>
      </c>
      <c r="C15" s="14"/>
      <c r="D15" s="15"/>
      <c r="E15" s="19"/>
      <c r="F15" s="17"/>
      <c r="G15" s="17"/>
      <c r="H15" s="17"/>
      <c r="I15" s="18"/>
      <c r="J15" s="18"/>
      <c r="K15" s="18"/>
    </row>
    <row r="16" spans="2:14" ht="14.25" customHeight="1" x14ac:dyDescent="0.3">
      <c r="B16" s="13">
        <v>11</v>
      </c>
      <c r="C16" s="22"/>
      <c r="D16" s="15"/>
      <c r="E16" s="19"/>
      <c r="F16" s="17"/>
      <c r="G16" s="17"/>
      <c r="H16" s="17"/>
      <c r="I16" s="18"/>
      <c r="J16" s="18"/>
      <c r="K16" s="18"/>
    </row>
    <row r="17" spans="2:11" ht="14.25" customHeight="1" x14ac:dyDescent="0.3">
      <c r="B17" s="13">
        <v>12</v>
      </c>
      <c r="C17" s="14"/>
      <c r="D17" s="15"/>
      <c r="E17" s="19"/>
      <c r="F17" s="17"/>
      <c r="G17" s="17"/>
      <c r="H17" s="17"/>
      <c r="I17" s="18"/>
      <c r="J17" s="18"/>
      <c r="K17" s="18"/>
    </row>
    <row r="18" spans="2:11" ht="14.25" customHeight="1" x14ac:dyDescent="0.3">
      <c r="B18" s="13">
        <v>13</v>
      </c>
      <c r="C18" s="14"/>
      <c r="D18" s="15"/>
      <c r="E18" s="19"/>
      <c r="F18" s="17"/>
      <c r="G18" s="17"/>
      <c r="H18" s="17"/>
      <c r="I18" s="18"/>
      <c r="J18" s="18"/>
      <c r="K18" s="18"/>
    </row>
    <row r="19" spans="2:11" ht="14.25" customHeight="1" thickBot="1" x14ac:dyDescent="0.35">
      <c r="B19" s="13">
        <v>14</v>
      </c>
      <c r="C19" s="14"/>
      <c r="D19" s="15"/>
      <c r="E19" s="19"/>
      <c r="F19" s="17"/>
      <c r="G19" s="17"/>
      <c r="H19" s="17"/>
      <c r="I19" s="18"/>
      <c r="J19" s="18"/>
      <c r="K19" s="18"/>
    </row>
    <row r="20" spans="2:11" ht="14.25" customHeight="1" x14ac:dyDescent="0.3">
      <c r="B20" s="37" t="s">
        <v>10</v>
      </c>
      <c r="C20" s="38"/>
      <c r="D20" s="23">
        <v>0</v>
      </c>
      <c r="E20" s="24">
        <f t="shared" ref="E20:I20" si="0">SUM(E6:E19)</f>
        <v>1</v>
      </c>
      <c r="F20" s="25">
        <f t="shared" si="0"/>
        <v>0</v>
      </c>
      <c r="G20" s="25">
        <f t="shared" si="0"/>
        <v>0</v>
      </c>
      <c r="H20" s="25">
        <f t="shared" si="0"/>
        <v>2.5</v>
      </c>
      <c r="I20" s="26">
        <f t="shared" si="0"/>
        <v>13.5</v>
      </c>
      <c r="J20" s="26">
        <f t="shared" ref="J20:K20" si="1">SUM(J6:J19)</f>
        <v>4</v>
      </c>
      <c r="K20" s="26">
        <f t="shared" si="1"/>
        <v>2</v>
      </c>
    </row>
    <row r="21" spans="2:11" ht="14.25" customHeight="1" x14ac:dyDescent="0.3">
      <c r="B21" s="39" t="s">
        <v>11</v>
      </c>
      <c r="C21" s="40"/>
      <c r="D21" s="27">
        <f>SUM(D6:D20)</f>
        <v>23</v>
      </c>
      <c r="E21" s="28">
        <f t="shared" ref="E21:I21" si="2">D21-SUM(E6:E19)</f>
        <v>22</v>
      </c>
      <c r="F21" s="29">
        <f t="shared" si="2"/>
        <v>22</v>
      </c>
      <c r="G21" s="29">
        <f t="shared" si="2"/>
        <v>22</v>
      </c>
      <c r="H21" s="29">
        <f t="shared" si="2"/>
        <v>19.5</v>
      </c>
      <c r="I21" s="30">
        <f t="shared" si="2"/>
        <v>6</v>
      </c>
      <c r="J21" s="30">
        <f t="shared" ref="J21" si="3">I21-SUM(J6:J19)</f>
        <v>2</v>
      </c>
      <c r="K21" s="30">
        <f t="shared" ref="K21" si="4">J21-SUM(K6:K19)</f>
        <v>0</v>
      </c>
    </row>
    <row r="22" spans="2:11" ht="14.25" customHeight="1" thickBot="1" x14ac:dyDescent="0.35">
      <c r="B22" s="41" t="s">
        <v>12</v>
      </c>
      <c r="C22" s="42"/>
      <c r="D22" s="31">
        <f>D21</f>
        <v>23</v>
      </c>
      <c r="E22" s="32">
        <f>$D$22-($D$22/10*1)</f>
        <v>20.7</v>
      </c>
      <c r="F22" s="32">
        <f>$D$22-($D$22/10*2)</f>
        <v>18.399999999999999</v>
      </c>
      <c r="G22" s="32">
        <f>$D$22-($D$22/10*3)</f>
        <v>16.100000000000001</v>
      </c>
      <c r="H22" s="32">
        <f>$D$22-($D$22/10*4)</f>
        <v>13.8</v>
      </c>
      <c r="I22" s="33">
        <f>$D$22-($D$22/10*5)</f>
        <v>11.5</v>
      </c>
      <c r="J22" s="33">
        <f>$D$22-($D$22/10*6)</f>
        <v>9.2000000000000011</v>
      </c>
      <c r="K22" s="33">
        <f>$D$22-($D$22/10*7)</f>
        <v>6.9000000000000021</v>
      </c>
    </row>
    <row r="23" spans="2:11" ht="14.25" customHeight="1" x14ac:dyDescent="0.3"/>
    <row r="24" spans="2:11" ht="14.25" customHeight="1" x14ac:dyDescent="0.3"/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B20:C20"/>
    <mergeCell ref="B21:C21"/>
    <mergeCell ref="B22:C22"/>
    <mergeCell ref="B2:N2"/>
    <mergeCell ref="B4:B5"/>
    <mergeCell ref="C4:C5"/>
    <mergeCell ref="E3:K3"/>
  </mergeCells>
  <phoneticPr fontId="8" type="noConversion"/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Leandro Marques da Silva Rodrigues</cp:lastModifiedBy>
  <dcterms:created xsi:type="dcterms:W3CDTF">2021-11-14T17:33:15Z</dcterms:created>
  <dcterms:modified xsi:type="dcterms:W3CDTF">2025-12-01T17:22:16Z</dcterms:modified>
</cp:coreProperties>
</file>